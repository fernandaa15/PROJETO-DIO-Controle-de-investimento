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ocuments\DOCUMENTOS DIAS\Fernanda\"/>
    </mc:Choice>
  </mc:AlternateContent>
  <bookViews>
    <workbookView xWindow="0" yWindow="0" windowWidth="20490" windowHeight="7530" tabRatio="188"/>
  </bookViews>
  <sheets>
    <sheet name="Simulador" sheetId="1" r:id="rId1"/>
    <sheet name="Planilha1" sheetId="2" r:id="rId2"/>
  </sheets>
  <definedNames>
    <definedName name="Aporte">Simulador!$D$18</definedName>
    <definedName name="patrimonio_acumulado">Simulador!$D$21</definedName>
    <definedName name="qtde_anos">Simulador!$D$19</definedName>
    <definedName name="rendimento_carteira">Simulador!$D$13</definedName>
    <definedName name="salario">Simulador!$D$12</definedName>
    <definedName name="sugestao_investiment">Simulador!$D$14</definedName>
    <definedName name="Taxa_mensal">Simulador!$D$20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  <c r="D38" i="1" s="1"/>
  <c r="C39" i="1"/>
  <c r="D39" i="1" s="1"/>
  <c r="C40" i="1"/>
  <c r="D40" i="1" s="1"/>
  <c r="C41" i="1"/>
  <c r="D41" i="1" s="1"/>
  <c r="C42" i="1"/>
  <c r="D42" i="1" s="1"/>
  <c r="C37" i="1"/>
  <c r="D37" i="1" s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43" i="1" l="1"/>
  <c r="C27" i="1"/>
  <c r="D27" i="1" s="1"/>
  <c r="C28" i="1"/>
  <c r="D28" i="1" s="1"/>
  <c r="C29" i="1"/>
  <c r="D29" i="1" s="1"/>
  <c r="C30" i="1"/>
  <c r="D30" i="1" s="1"/>
  <c r="C26" i="1"/>
  <c r="D26" i="1" s="1"/>
  <c r="D21" i="1"/>
  <c r="D22" i="1" s="1"/>
  <c r="D14" i="1"/>
</calcChain>
</file>

<file path=xl/sharedStrings.xml><?xml version="1.0" encoding="utf-8"?>
<sst xmlns="http://schemas.openxmlformats.org/spreadsheetml/2006/main" count="71" uniqueCount="36">
  <si>
    <t>Patrimônio acumulado</t>
  </si>
  <si>
    <t>Dividendos mensais</t>
  </si>
  <si>
    <t>INVESTIMENTO MENSAL</t>
  </si>
  <si>
    <t>Quanto em 2 anos?</t>
  </si>
  <si>
    <t>Quanto em 10 anos?</t>
  </si>
  <si>
    <t>Quanto em 15 anos?</t>
  </si>
  <si>
    <t>Quanto em 20 anos?</t>
  </si>
  <si>
    <t>CENÁRIOS</t>
  </si>
  <si>
    <t>Dividendo</t>
  </si>
  <si>
    <t>Quanto em 30 anos?</t>
  </si>
  <si>
    <t>CONFIGURAÇÕES</t>
  </si>
  <si>
    <t>Rendimento carteira</t>
  </si>
  <si>
    <t>Salário</t>
  </si>
  <si>
    <t>Sugestão de Investimento</t>
  </si>
  <si>
    <t>Valor investido por mês?</t>
  </si>
  <si>
    <t>Por quantos anos?</t>
  </si>
  <si>
    <t>Taxa de rendimento mensal?</t>
  </si>
  <si>
    <t>AGRESSIVO</t>
  </si>
  <si>
    <t>MODERADO</t>
  </si>
  <si>
    <t>PERFIL</t>
  </si>
  <si>
    <t>Valor a ser investido por mês</t>
  </si>
  <si>
    <t>Tipo de FII</t>
  </si>
  <si>
    <t>Percentual Sugerido</t>
  </si>
  <si>
    <t>Valor</t>
  </si>
  <si>
    <t>Papel</t>
  </si>
  <si>
    <t>Tijolo</t>
  </si>
  <si>
    <t>Hibridos</t>
  </si>
  <si>
    <t>Fof's</t>
  </si>
  <si>
    <t>Desenvolvimento</t>
  </si>
  <si>
    <t>Hotelarias</t>
  </si>
  <si>
    <t>CONSERVADOR</t>
  </si>
  <si>
    <t>Total</t>
  </si>
  <si>
    <t>TIPO DE FII</t>
  </si>
  <si>
    <t>%</t>
  </si>
  <si>
    <t>CHAVE</t>
  </si>
  <si>
    <t>CONSERVADOR-Papel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</si>
</sst>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Bahnschrift Light Condensed"/>
      <family val="2"/>
    </font>
    <font>
      <b/>
      <sz val="12"/>
      <color theme="1"/>
      <name val="Bahnschrift Light Condensed"/>
      <family val="2"/>
    </font>
    <font>
      <b/>
      <sz val="14"/>
      <color theme="0"/>
      <name val="Bahnschrift Light Condensed"/>
      <family val="2"/>
    </font>
  </fonts>
  <fills count="6">
    <fill>
      <patternFill patternType="none"/>
    </fill>
    <fill>
      <patternFill patternType="gray125"/>
    </fill>
    <fill>
      <patternFill patternType="solid">
        <fgColor rgb="FFF04A5A"/>
        <bgColor indexed="64"/>
      </patternFill>
    </fill>
    <fill>
      <patternFill patternType="solid">
        <fgColor rgb="FF970D0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5" borderId="0" applyNumberFormat="0" applyBorder="0" applyAlignment="0" applyProtection="0"/>
  </cellStyleXfs>
  <cellXfs count="62">
    <xf numFmtId="0" fontId="0" fillId="0" borderId="0" xfId="0"/>
    <xf numFmtId="0" fontId="0" fillId="0" borderId="3" xfId="0" applyBorder="1"/>
    <xf numFmtId="165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2" applyNumberFormat="1" applyFont="1" applyBorder="1" applyAlignment="1">
      <alignment horizontal="center"/>
    </xf>
    <xf numFmtId="0" fontId="3" fillId="0" borderId="0" xfId="0" applyFont="1"/>
    <xf numFmtId="165" fontId="2" fillId="4" borderId="7" xfId="0" applyNumberFormat="1" applyFont="1" applyFill="1" applyBorder="1" applyAlignment="1">
      <alignment horizontal="center"/>
    </xf>
    <xf numFmtId="165" fontId="2" fillId="4" borderId="8" xfId="0" applyNumberFormat="1" applyFont="1" applyFill="1" applyBorder="1" applyAlignment="1">
      <alignment horizontal="center"/>
    </xf>
    <xf numFmtId="165" fontId="2" fillId="4" borderId="9" xfId="0" applyNumberFormat="1" applyFont="1" applyFill="1" applyBorder="1" applyAlignment="1">
      <alignment horizontal="center"/>
    </xf>
    <xf numFmtId="8" fontId="2" fillId="4" borderId="4" xfId="0" applyNumberFormat="1" applyFont="1" applyFill="1" applyBorder="1" applyAlignment="1">
      <alignment horizontal="center"/>
    </xf>
    <xf numFmtId="8" fontId="2" fillId="4" borderId="6" xfId="0" applyNumberFormat="1" applyFont="1" applyFill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165" fontId="0" fillId="4" borderId="4" xfId="0" applyNumberFormat="1" applyFill="1" applyBorder="1" applyAlignment="1">
      <alignment horizontal="center"/>
    </xf>
    <xf numFmtId="165" fontId="0" fillId="4" borderId="6" xfId="0" applyNumberFormat="1" applyFill="1" applyBorder="1" applyAlignment="1">
      <alignment horizontal="center"/>
    </xf>
    <xf numFmtId="165" fontId="0" fillId="0" borderId="4" xfId="1" applyNumberFormat="1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5" fillId="4" borderId="1" xfId="0" applyFont="1" applyFill="1" applyBorder="1"/>
    <xf numFmtId="0" fontId="5" fillId="4" borderId="3" xfId="0" applyFont="1" applyFill="1" applyBorder="1"/>
    <xf numFmtId="0" fontId="5" fillId="4" borderId="5" xfId="0" applyFont="1" applyFill="1" applyBorder="1"/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0" xfId="0" applyFont="1" applyFill="1" applyBorder="1" applyAlignment="1"/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4" fillId="5" borderId="0" xfId="3"/>
    <xf numFmtId="0" fontId="2" fillId="0" borderId="14" xfId="0" applyFont="1" applyBorder="1"/>
    <xf numFmtId="0" fontId="2" fillId="0" borderId="14" xfId="0" applyFont="1" applyBorder="1" applyAlignment="1">
      <alignment horizontal="center"/>
    </xf>
    <xf numFmtId="0" fontId="0" fillId="0" borderId="14" xfId="0" applyBorder="1"/>
    <xf numFmtId="9" fontId="0" fillId="0" borderId="14" xfId="0" applyNumberFormat="1" applyBorder="1" applyAlignment="1">
      <alignment horizontal="center"/>
    </xf>
    <xf numFmtId="9" fontId="4" fillId="5" borderId="0" xfId="2" applyFont="1" applyFill="1"/>
    <xf numFmtId="0" fontId="4" fillId="5" borderId="20" xfId="3" applyBorder="1"/>
    <xf numFmtId="0" fontId="5" fillId="4" borderId="10" xfId="0" applyFont="1" applyFill="1" applyBorder="1"/>
    <xf numFmtId="165" fontId="0" fillId="4" borderId="11" xfId="0" applyNumberFormat="1" applyFill="1" applyBorder="1"/>
    <xf numFmtId="0" fontId="0" fillId="4" borderId="21" xfId="0" applyFill="1" applyBorder="1"/>
    <xf numFmtId="0" fontId="2" fillId="4" borderId="1" xfId="0" applyFont="1" applyFill="1" applyBorder="1"/>
    <xf numFmtId="0" fontId="2" fillId="4" borderId="7" xfId="0" applyFont="1" applyFill="1" applyBorder="1"/>
    <xf numFmtId="0" fontId="2" fillId="4" borderId="2" xfId="0" applyFont="1" applyFill="1" applyBorder="1"/>
    <xf numFmtId="9" fontId="0" fillId="0" borderId="8" xfId="0" applyNumberFormat="1" applyBorder="1" applyAlignment="1">
      <alignment horizontal="center"/>
    </xf>
    <xf numFmtId="165" fontId="0" fillId="4" borderId="4" xfId="0" applyNumberFormat="1" applyFill="1" applyBorder="1"/>
    <xf numFmtId="0" fontId="2" fillId="4" borderId="5" xfId="0" applyFont="1" applyFill="1" applyBorder="1" applyAlignment="1">
      <alignment horizontal="left"/>
    </xf>
    <xf numFmtId="0" fontId="2" fillId="4" borderId="9" xfId="0" applyFont="1" applyFill="1" applyBorder="1" applyAlignment="1">
      <alignment horizontal="left"/>
    </xf>
    <xf numFmtId="165" fontId="0" fillId="4" borderId="6" xfId="0" applyNumberFormat="1" applyFill="1" applyBorder="1"/>
    <xf numFmtId="0" fontId="4" fillId="5" borderId="16" xfId="3" applyBorder="1" applyAlignment="1">
      <alignment horizontal="center"/>
    </xf>
    <xf numFmtId="0" fontId="4" fillId="5" borderId="15" xfId="3" applyBorder="1" applyAlignment="1">
      <alignment horizontal="center"/>
    </xf>
  </cellXfs>
  <cellStyles count="4">
    <cellStyle name="Incorreto" xfId="3" builtinId="27"/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44C4C"/>
      <color rgb="FFF04A5A"/>
      <color rgb="FFF40A0A"/>
      <color rgb="FF970D0D"/>
      <color rgb="FFF42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Simulador!$C$36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hade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6E9-4F3E-BA75-9DE9B74268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hade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hade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shade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9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9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9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7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7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7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2">
                      <a:tint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tint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tint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Simulador!$B$37:$B$42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Simulador!$C$37:$C$42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9-4F3E-BA75-9DE9B7426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476249</xdr:colOff>
      <xdr:row>0</xdr:row>
      <xdr:rowOff>0</xdr:rowOff>
    </xdr:from>
    <xdr:to>
      <xdr:col>4</xdr:col>
      <xdr:colOff>247650</xdr:colOff>
      <xdr:row>5</xdr:row>
      <xdr:rowOff>180975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299"/>
        <a:stretch/>
      </xdr:blipFill>
      <xdr:spPr>
        <a:xfrm>
          <a:off x="476249" y="0"/>
          <a:ext cx="4838701" cy="113347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1</xdr:col>
      <xdr:colOff>28575</xdr:colOff>
      <xdr:row>44</xdr:row>
      <xdr:rowOff>76199</xdr:rowOff>
    </xdr:from>
    <xdr:to>
      <xdr:col>4</xdr:col>
      <xdr:colOff>0</xdr:colOff>
      <xdr:row>58</xdr:row>
      <xdr:rowOff>19050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G43"/>
  <sheetViews>
    <sheetView showGridLines="0" showRowColHeaders="0" tabSelected="1" workbookViewId="0">
      <selection activeCell="D31" sqref="D31"/>
    </sheetView>
  </sheetViews>
  <sheetFormatPr defaultColWidth="0" defaultRowHeight="15" x14ac:dyDescent="0.25"/>
  <cols>
    <col min="1" max="1" width="9.140625" customWidth="1"/>
    <col min="2" max="2" width="26.140625" bestFit="1" customWidth="1"/>
    <col min="3" max="3" width="28" customWidth="1"/>
    <col min="4" max="4" width="12.7109375" bestFit="1" customWidth="1"/>
    <col min="5" max="6" width="9.140625" customWidth="1"/>
    <col min="7" max="7" width="10.5703125" hidden="1" customWidth="1"/>
    <col min="8" max="11" width="9.140625" hidden="1" customWidth="1"/>
    <col min="12" max="16384" width="9.140625" hidden="1"/>
  </cols>
  <sheetData>
    <row r="11" spans="2:4" ht="18" x14ac:dyDescent="0.25">
      <c r="B11" s="38" t="s">
        <v>10</v>
      </c>
      <c r="C11" s="39"/>
      <c r="D11" s="40"/>
    </row>
    <row r="12" spans="2:4" ht="15.75" x14ac:dyDescent="0.25">
      <c r="B12" s="34" t="s">
        <v>12</v>
      </c>
      <c r="C12" s="36"/>
      <c r="D12" s="14">
        <v>4000</v>
      </c>
    </row>
    <row r="13" spans="2:4" ht="15.75" x14ac:dyDescent="0.25">
      <c r="B13" s="34" t="s">
        <v>11</v>
      </c>
      <c r="C13" s="36"/>
      <c r="D13" s="16">
        <v>9.2999999999999992E-3</v>
      </c>
    </row>
    <row r="14" spans="2:4" ht="15.75" x14ac:dyDescent="0.25">
      <c r="B14" s="35" t="s">
        <v>13</v>
      </c>
      <c r="C14" s="37"/>
      <c r="D14" s="15">
        <f>D12*30%</f>
        <v>1200</v>
      </c>
    </row>
    <row r="17" spans="1:4" ht="18" x14ac:dyDescent="0.25">
      <c r="B17" s="27" t="s">
        <v>2</v>
      </c>
      <c r="C17" s="28"/>
      <c r="D17" s="41"/>
    </row>
    <row r="18" spans="1:4" ht="15.75" x14ac:dyDescent="0.25">
      <c r="B18" s="29" t="s">
        <v>14</v>
      </c>
      <c r="C18" s="30"/>
      <c r="D18" s="2">
        <v>600</v>
      </c>
    </row>
    <row r="19" spans="1:4" ht="15.75" x14ac:dyDescent="0.25">
      <c r="B19" s="24" t="s">
        <v>15</v>
      </c>
      <c r="C19" s="31"/>
      <c r="D19" s="3">
        <v>5</v>
      </c>
    </row>
    <row r="20" spans="1:4" ht="15.75" x14ac:dyDescent="0.25">
      <c r="B20" s="24" t="s">
        <v>16</v>
      </c>
      <c r="C20" s="31"/>
      <c r="D20" s="4">
        <v>1.7899999999999999E-2</v>
      </c>
    </row>
    <row r="21" spans="1:4" ht="15.75" x14ac:dyDescent="0.25">
      <c r="A21" s="5">
        <v>2</v>
      </c>
      <c r="B21" s="25" t="s">
        <v>0</v>
      </c>
      <c r="C21" s="32"/>
      <c r="D21" s="9">
        <f>FV(Taxa_mensal,qtde_anos*12,Aporte*-1)</f>
        <v>63666.75430463333</v>
      </c>
    </row>
    <row r="22" spans="1:4" ht="15.75" x14ac:dyDescent="0.25">
      <c r="A22" s="5">
        <v>10</v>
      </c>
      <c r="B22" s="26" t="s">
        <v>1</v>
      </c>
      <c r="C22" s="33"/>
      <c r="D22" s="10">
        <f>patrimonio_acumulado*rendimento_carteira</f>
        <v>592.10081503308993</v>
      </c>
    </row>
    <row r="23" spans="1:4" x14ac:dyDescent="0.25">
      <c r="A23" s="5">
        <v>15</v>
      </c>
    </row>
    <row r="24" spans="1:4" x14ac:dyDescent="0.25">
      <c r="A24" s="5">
        <v>20</v>
      </c>
    </row>
    <row r="25" spans="1:4" ht="18" x14ac:dyDescent="0.25">
      <c r="A25" s="5">
        <v>30</v>
      </c>
      <c r="B25" s="20" t="s">
        <v>7</v>
      </c>
      <c r="C25" s="21"/>
      <c r="D25" s="22" t="s">
        <v>8</v>
      </c>
    </row>
    <row r="26" spans="1:4" ht="15.75" x14ac:dyDescent="0.25">
      <c r="B26" s="17" t="s">
        <v>3</v>
      </c>
      <c r="C26" s="6">
        <f>FV(Taxa_mensal,$A21*12,Aporte*-1)</f>
        <v>17792.685777409188</v>
      </c>
      <c r="D26" s="11">
        <f>C26*rendimento_carteira</f>
        <v>165.47197772990543</v>
      </c>
    </row>
    <row r="27" spans="1:4" ht="15.75" x14ac:dyDescent="0.25">
      <c r="B27" s="18" t="s">
        <v>4</v>
      </c>
      <c r="C27" s="7">
        <f>FV(Taxa_mensal,$A22*12,Aporte*-1)</f>
        <v>248261.60078591527</v>
      </c>
      <c r="D27" s="12">
        <f>C27*rendimento_carteira</f>
        <v>2308.8328873090118</v>
      </c>
    </row>
    <row r="28" spans="1:4" ht="15.75" x14ac:dyDescent="0.25">
      <c r="B28" s="18" t="s">
        <v>5</v>
      </c>
      <c r="C28" s="7">
        <f>FV(Taxa_mensal,$A23*12,Aporte*-1)</f>
        <v>783474.33024915145</v>
      </c>
      <c r="D28" s="12">
        <f>C28*rendimento_carteira</f>
        <v>7286.3112713171076</v>
      </c>
    </row>
    <row r="29" spans="1:4" ht="15.75" x14ac:dyDescent="0.25">
      <c r="B29" s="18" t="s">
        <v>6</v>
      </c>
      <c r="C29" s="7">
        <f>FV(Taxa_mensal,$A24*12,Aporte*-1)</f>
        <v>2335265.5705779213</v>
      </c>
      <c r="D29" s="12">
        <f>C29*rendimento_carteira</f>
        <v>21717.969806374665</v>
      </c>
    </row>
    <row r="30" spans="1:4" ht="15.75" x14ac:dyDescent="0.25">
      <c r="B30" s="19" t="s">
        <v>9</v>
      </c>
      <c r="C30" s="8">
        <f>FV(Taxa_mensal,$A25*12,Aporte*-1)</f>
        <v>19879604.107585769</v>
      </c>
      <c r="D30" s="13">
        <f>C30*rendimento_carteira</f>
        <v>184880.31820054763</v>
      </c>
    </row>
    <row r="33" spans="2:4" x14ac:dyDescent="0.25">
      <c r="B33" s="61" t="s">
        <v>19</v>
      </c>
      <c r="C33" s="60" t="s">
        <v>18</v>
      </c>
      <c r="D33" s="48"/>
    </row>
    <row r="34" spans="2:4" ht="15.75" x14ac:dyDescent="0.25">
      <c r="B34" s="49" t="s">
        <v>20</v>
      </c>
      <c r="C34" s="50">
        <v>600</v>
      </c>
      <c r="D34" s="51"/>
    </row>
    <row r="36" spans="2:4" x14ac:dyDescent="0.25">
      <c r="B36" s="52" t="s">
        <v>21</v>
      </c>
      <c r="C36" s="53" t="s">
        <v>22</v>
      </c>
      <c r="D36" s="54" t="s">
        <v>23</v>
      </c>
    </row>
    <row r="37" spans="2:4" x14ac:dyDescent="0.25">
      <c r="B37" s="1" t="s">
        <v>24</v>
      </c>
      <c r="C37" s="55">
        <f>VLOOKUP($C$33&amp;"-"&amp;B37,Planilha1!$A:$D,4,0)</f>
        <v>0.32</v>
      </c>
      <c r="D37" s="56">
        <f>$C$34*C37</f>
        <v>192</v>
      </c>
    </row>
    <row r="38" spans="2:4" x14ac:dyDescent="0.25">
      <c r="B38" s="1" t="s">
        <v>25</v>
      </c>
      <c r="C38" s="55">
        <f>VLOOKUP($C$33&amp;"-"&amp;B38,Planilha1!$A:$D,4,0)</f>
        <v>0.4</v>
      </c>
      <c r="D38" s="56">
        <f t="shared" ref="D38:D42" si="0">$C$34*C38</f>
        <v>240</v>
      </c>
    </row>
    <row r="39" spans="2:4" x14ac:dyDescent="0.25">
      <c r="B39" s="1" t="s">
        <v>26</v>
      </c>
      <c r="C39" s="55">
        <f>VLOOKUP($C$33&amp;"-"&amp;B39,Planilha1!$A:$D,4,0)</f>
        <v>0.08</v>
      </c>
      <c r="D39" s="56">
        <f t="shared" si="0"/>
        <v>48</v>
      </c>
    </row>
    <row r="40" spans="2:4" x14ac:dyDescent="0.25">
      <c r="B40" s="1" t="s">
        <v>27</v>
      </c>
      <c r="C40" s="55">
        <f>VLOOKUP($C$33&amp;"-"&amp;B40,Planilha1!$A:$D,4,0)</f>
        <v>0.1</v>
      </c>
      <c r="D40" s="56">
        <f t="shared" si="0"/>
        <v>60</v>
      </c>
    </row>
    <row r="41" spans="2:4" x14ac:dyDescent="0.25">
      <c r="B41" s="1" t="s">
        <v>28</v>
      </c>
      <c r="C41" s="55">
        <f>VLOOKUP($C$33&amp;"-"&amp;B41,Planilha1!$A:$D,4,0)</f>
        <v>0.1</v>
      </c>
      <c r="D41" s="56">
        <f t="shared" si="0"/>
        <v>60</v>
      </c>
    </row>
    <row r="42" spans="2:4" x14ac:dyDescent="0.25">
      <c r="B42" s="1" t="s">
        <v>29</v>
      </c>
      <c r="C42" s="55">
        <f>VLOOKUP($C$33&amp;"-"&amp;B42,Planilha1!$A:$D,4,0)</f>
        <v>0</v>
      </c>
      <c r="D42" s="56">
        <f t="shared" si="0"/>
        <v>0</v>
      </c>
    </row>
    <row r="43" spans="2:4" x14ac:dyDescent="0.25">
      <c r="B43" s="57" t="s">
        <v>31</v>
      </c>
      <c r="C43" s="58"/>
      <c r="D43" s="59">
        <f>SUM(D37:D42)</f>
        <v>600</v>
      </c>
    </row>
  </sheetData>
  <mergeCells count="12">
    <mergeCell ref="B43:C43"/>
    <mergeCell ref="B12:C12"/>
    <mergeCell ref="B13:C13"/>
    <mergeCell ref="B14:C14"/>
    <mergeCell ref="B11:D11"/>
    <mergeCell ref="B25:C25"/>
    <mergeCell ref="B18:C18"/>
    <mergeCell ref="B19:C19"/>
    <mergeCell ref="B20:C20"/>
    <mergeCell ref="B21:C21"/>
    <mergeCell ref="B22:C22"/>
    <mergeCell ref="B17:D17"/>
  </mergeCells>
  <dataValidations count="1">
    <dataValidation type="list" allowBlank="1" showInputMessage="1" showErrorMessage="1" sqref="C33">
      <formula1>"AGRESSIVO,CONSERVADOR,MODERADO"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workbookViewId="0">
      <selection activeCell="H14" sqref="H14"/>
    </sheetView>
  </sheetViews>
  <sheetFormatPr defaultRowHeight="15" x14ac:dyDescent="0.25"/>
  <cols>
    <col min="1" max="1" width="20.5703125" bestFit="1" customWidth="1"/>
    <col min="2" max="2" width="14.7109375" bestFit="1" customWidth="1"/>
    <col min="3" max="3" width="16.85546875" bestFit="1" customWidth="1"/>
    <col min="4" max="4" width="9.140625" style="23"/>
    <col min="7" max="7" width="23" customWidth="1"/>
  </cols>
  <sheetData>
    <row r="2" spans="1:8" x14ac:dyDescent="0.25">
      <c r="A2" s="43" t="s">
        <v>34</v>
      </c>
      <c r="B2" s="43" t="s">
        <v>19</v>
      </c>
      <c r="C2" s="43" t="s">
        <v>32</v>
      </c>
      <c r="D2" s="44" t="s">
        <v>33</v>
      </c>
    </row>
    <row r="3" spans="1:8" x14ac:dyDescent="0.25">
      <c r="A3" s="45" t="str">
        <f>B3&amp;"-"&amp;C3</f>
        <v>CONSERVADOR-Papel</v>
      </c>
      <c r="B3" s="45" t="s">
        <v>30</v>
      </c>
      <c r="C3" s="45" t="s">
        <v>24</v>
      </c>
      <c r="D3" s="46">
        <v>0.3</v>
      </c>
    </row>
    <row r="4" spans="1:8" x14ac:dyDescent="0.25">
      <c r="A4" s="45" t="str">
        <f t="shared" ref="A4:A20" si="0">B4&amp;"-"&amp;C4</f>
        <v>CONSERVADOR-Tijolo</v>
      </c>
      <c r="B4" s="45" t="s">
        <v>30</v>
      </c>
      <c r="C4" s="45" t="s">
        <v>25</v>
      </c>
      <c r="D4" s="46">
        <v>0.5</v>
      </c>
      <c r="G4" s="42" t="s">
        <v>35</v>
      </c>
      <c r="H4" s="47">
        <f>VLOOKUP(G4,A:D,4,0)</f>
        <v>0.3</v>
      </c>
    </row>
    <row r="5" spans="1:8" x14ac:dyDescent="0.25">
      <c r="A5" s="45" t="str">
        <f t="shared" si="0"/>
        <v>CONSERVADOR-Hibridos</v>
      </c>
      <c r="B5" s="45" t="s">
        <v>30</v>
      </c>
      <c r="C5" s="45" t="s">
        <v>26</v>
      </c>
      <c r="D5" s="46">
        <v>0.1</v>
      </c>
    </row>
    <row r="6" spans="1:8" x14ac:dyDescent="0.25">
      <c r="A6" s="45" t="str">
        <f t="shared" si="0"/>
        <v>CONSERVADOR-Fof's</v>
      </c>
      <c r="B6" s="45" t="s">
        <v>30</v>
      </c>
      <c r="C6" s="45" t="s">
        <v>27</v>
      </c>
      <c r="D6" s="46">
        <v>0.1</v>
      </c>
    </row>
    <row r="7" spans="1:8" x14ac:dyDescent="0.25">
      <c r="A7" s="45" t="str">
        <f t="shared" si="0"/>
        <v>CONSERVADOR-Desenvolvimento</v>
      </c>
      <c r="B7" s="45" t="s">
        <v>30</v>
      </c>
      <c r="C7" s="45" t="s">
        <v>28</v>
      </c>
      <c r="D7" s="46">
        <v>0</v>
      </c>
    </row>
    <row r="8" spans="1:8" x14ac:dyDescent="0.25">
      <c r="A8" s="45" t="str">
        <f t="shared" si="0"/>
        <v>CONSERVADOR-Hotelarias</v>
      </c>
      <c r="B8" s="45" t="s">
        <v>30</v>
      </c>
      <c r="C8" s="45" t="s">
        <v>29</v>
      </c>
      <c r="D8" s="46">
        <v>0</v>
      </c>
    </row>
    <row r="9" spans="1:8" x14ac:dyDescent="0.25">
      <c r="A9" s="45" t="str">
        <f t="shared" si="0"/>
        <v>MODERADO-Papel</v>
      </c>
      <c r="B9" s="45" t="s">
        <v>18</v>
      </c>
      <c r="C9" s="45" t="s">
        <v>24</v>
      </c>
      <c r="D9" s="46">
        <v>0.32</v>
      </c>
    </row>
    <row r="10" spans="1:8" x14ac:dyDescent="0.25">
      <c r="A10" s="45" t="str">
        <f t="shared" si="0"/>
        <v>MODERADO-Tijolo</v>
      </c>
      <c r="B10" s="45" t="s">
        <v>18</v>
      </c>
      <c r="C10" s="45" t="s">
        <v>25</v>
      </c>
      <c r="D10" s="46">
        <v>0.4</v>
      </c>
    </row>
    <row r="11" spans="1:8" x14ac:dyDescent="0.25">
      <c r="A11" s="45" t="str">
        <f t="shared" si="0"/>
        <v>MODERADO-Hibridos</v>
      </c>
      <c r="B11" s="45" t="s">
        <v>18</v>
      </c>
      <c r="C11" s="45" t="s">
        <v>26</v>
      </c>
      <c r="D11" s="46">
        <v>0.08</v>
      </c>
    </row>
    <row r="12" spans="1:8" x14ac:dyDescent="0.25">
      <c r="A12" s="45" t="str">
        <f t="shared" si="0"/>
        <v>MODERADO-Fof's</v>
      </c>
      <c r="B12" s="45" t="s">
        <v>18</v>
      </c>
      <c r="C12" s="45" t="s">
        <v>27</v>
      </c>
      <c r="D12" s="46">
        <v>0.1</v>
      </c>
    </row>
    <row r="13" spans="1:8" x14ac:dyDescent="0.25">
      <c r="A13" s="45" t="str">
        <f t="shared" si="0"/>
        <v>MODERADO-Desenvolvimento</v>
      </c>
      <c r="B13" s="45" t="s">
        <v>18</v>
      </c>
      <c r="C13" s="45" t="s">
        <v>28</v>
      </c>
      <c r="D13" s="46">
        <v>0.1</v>
      </c>
    </row>
    <row r="14" spans="1:8" x14ac:dyDescent="0.25">
      <c r="A14" s="45" t="str">
        <f t="shared" si="0"/>
        <v>MODERADO-Hotelarias</v>
      </c>
      <c r="B14" s="45" t="s">
        <v>18</v>
      </c>
      <c r="C14" s="45" t="s">
        <v>29</v>
      </c>
      <c r="D14" s="46">
        <v>0</v>
      </c>
    </row>
    <row r="15" spans="1:8" x14ac:dyDescent="0.25">
      <c r="A15" s="45" t="str">
        <f t="shared" si="0"/>
        <v>AGRESSIVO-Papel</v>
      </c>
      <c r="B15" s="45" t="s">
        <v>17</v>
      </c>
      <c r="C15" s="45" t="s">
        <v>24</v>
      </c>
      <c r="D15" s="46">
        <v>0.5</v>
      </c>
    </row>
    <row r="16" spans="1:8" x14ac:dyDescent="0.25">
      <c r="A16" s="45" t="str">
        <f t="shared" si="0"/>
        <v>AGRESSIVO-Tijolo</v>
      </c>
      <c r="B16" s="45" t="s">
        <v>17</v>
      </c>
      <c r="C16" s="45" t="s">
        <v>25</v>
      </c>
      <c r="D16" s="46">
        <v>0.1</v>
      </c>
    </row>
    <row r="17" spans="1:4" x14ac:dyDescent="0.25">
      <c r="A17" s="45" t="str">
        <f t="shared" si="0"/>
        <v>AGRESSIVO-Hibridos</v>
      </c>
      <c r="B17" s="45" t="s">
        <v>17</v>
      </c>
      <c r="C17" s="45" t="s">
        <v>26</v>
      </c>
      <c r="D17" s="46">
        <v>0.05</v>
      </c>
    </row>
    <row r="18" spans="1:4" x14ac:dyDescent="0.25">
      <c r="A18" s="45" t="str">
        <f t="shared" si="0"/>
        <v>AGRESSIVO-Fof's</v>
      </c>
      <c r="B18" s="45" t="s">
        <v>17</v>
      </c>
      <c r="C18" s="45" t="s">
        <v>27</v>
      </c>
      <c r="D18" s="46">
        <v>0.05</v>
      </c>
    </row>
    <row r="19" spans="1:4" x14ac:dyDescent="0.25">
      <c r="A19" s="45" t="str">
        <f t="shared" si="0"/>
        <v>AGRESSIVO-Desenvolvimento</v>
      </c>
      <c r="B19" s="45" t="s">
        <v>17</v>
      </c>
      <c r="C19" s="45" t="s">
        <v>28</v>
      </c>
      <c r="D19" s="46">
        <v>0.2</v>
      </c>
    </row>
    <row r="20" spans="1:4" x14ac:dyDescent="0.25">
      <c r="A20" s="45" t="str">
        <f t="shared" si="0"/>
        <v>AGRESSIVO-Hotelarias</v>
      </c>
      <c r="B20" s="45" t="s">
        <v>17</v>
      </c>
      <c r="C20" s="45" t="s">
        <v>29</v>
      </c>
      <c r="D20" s="4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Planilha1</vt:lpstr>
      <vt:lpstr>Aporte</vt:lpstr>
      <vt:lpstr>patrimonio_acumulado</vt:lpstr>
      <vt:lpstr>qtde_anos</vt:lpstr>
      <vt:lpstr>rendimento_carteira</vt:lpstr>
      <vt:lpstr>salario</vt:lpstr>
      <vt:lpstr>sugestao_investiment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2026-10-04T13:34:56Z</dcterms:created>
  <dcterms:modified xsi:type="dcterms:W3CDTF">2026-10-05T02:28:00Z</dcterms:modified>
</cp:coreProperties>
</file>